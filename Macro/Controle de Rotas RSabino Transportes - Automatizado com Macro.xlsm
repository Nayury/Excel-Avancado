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imelines/timeline2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cuments\Alura\EXCEL - VBA\Macro\"/>
    </mc:Choice>
  </mc:AlternateContent>
  <xr:revisionPtr revIDLastSave="0" documentId="13_ncr:1_{E9F1711A-5FBE-4A16-9E20-AC449EFD2022}" xr6:coauthVersionLast="47" xr6:coauthVersionMax="47" xr10:uidLastSave="{00000000-0000-0000-0000-000000000000}"/>
  <bookViews>
    <workbookView xWindow="-120" yWindow="-120" windowWidth="29040" windowHeight="15840" firstSheet="1" activeTab="3" xr2:uid="{B673A230-CF2B-4926-840F-06DAC6DEF54A}"/>
  </bookViews>
  <sheets>
    <sheet name="Indicadores Base" sheetId="16" state="hidden" r:id="rId1"/>
    <sheet name="Tabelas Dinamicas" sheetId="5" r:id="rId2"/>
    <sheet name="Controle de Entregas" sheetId="3" state="hidden" r:id="rId3"/>
    <sheet name="Base Filtrada" sheetId="17" r:id="rId4"/>
    <sheet name="Dashboard" sheetId="15" r:id="rId5"/>
    <sheet name="Valor por Veículo" sheetId="18" state="hidden" r:id="rId6"/>
  </sheets>
  <definedNames>
    <definedName name="_xlnm._FilterDatabase" localSheetId="2" hidden="1">'Controle de Entregas'!$A$1:$M$31</definedName>
    <definedName name="_xlnm.Extract" localSheetId="3">'Base Filtrada'!$A$6:$M$6</definedName>
    <definedName name="BaseFiltrada">'Base Filtrada'!$A$6:$M$138</definedName>
    <definedName name="_xlnm.Criteria" localSheetId="3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126" r:id="rId7"/>
    <pivotCache cacheId="133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A4" i="15"/>
  <c r="BB4" i="15"/>
  <c r="AJ4" i="15"/>
  <c r="AS4" i="15"/>
  <c r="AS10" i="15"/>
  <c r="AA10" i="15"/>
  <c r="AS16" i="15" l="1"/>
  <c r="AA16" i="15"/>
  <c r="R16" i="15"/>
  <c r="R10" i="15"/>
  <c r="I10" i="15"/>
  <c r="I4" i="15"/>
  <c r="R4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<sst xmlns="http://schemas.openxmlformats.org/spreadsheetml/2006/main" count="569" uniqueCount="58">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</sst>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ill="1"/>
    <xf numFmtId="0" fontId="6" fillId="5" borderId="2" xfId="0" applyFont="1" applyFill="1" applyBorder="1" applyAlignment="1">
      <alignment horizontal="center" vertical="center" textRotation="90"/>
    </xf>
    <xf numFmtId="0" fontId="6" fillId="6" borderId="0" xfId="0" applyFont="1" applyFill="1" applyBorder="1" applyAlignment="1">
      <alignment horizontal="center" vertical="center" textRotation="90"/>
    </xf>
    <xf numFmtId="0" fontId="6" fillId="6" borderId="11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142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E-4322-9ECC-F3295E2E8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01525248"/>
        <c:axId val="1701529408"/>
      </c:barChart>
      <c:catAx>
        <c:axId val="170152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1529408"/>
        <c:crosses val="autoZero"/>
        <c:auto val="1"/>
        <c:lblAlgn val="ctr"/>
        <c:lblOffset val="100"/>
        <c:noMultiLvlLbl val="0"/>
      </c:catAx>
      <c:valAx>
        <c:axId val="17015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152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2AA-43FF-BADE-BC7C7369B7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2AA-43FF-BADE-BC7C7369B7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2AA-43FF-BADE-BC7C7369B7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12AA-43FF-BADE-BC7C7369B7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AA-43FF-BADE-BC7C7369B7E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57150</xdr:rowOff>
        </xdr:from>
        <xdr:to>
          <xdr:col>0</xdr:col>
          <xdr:colOff>1590675</xdr:colOff>
          <xdr:row>2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57150</xdr:rowOff>
        </xdr:from>
        <xdr:to>
          <xdr:col>2</xdr:col>
          <xdr:colOff>676275</xdr:colOff>
          <xdr:row>2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00BBA1E-039E-4DEE-92F2-307F19937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Vizualizar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771525</xdr:colOff>
          <xdr:row>2</xdr:row>
          <xdr:rowOff>57150</xdr:rowOff>
        </xdr:from>
        <xdr:to>
          <xdr:col>3</xdr:col>
          <xdr:colOff>1133475</xdr:colOff>
          <xdr:row>2</xdr:row>
          <xdr:rowOff>419100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6BEAC08-0791-4FA2-A676-6E67DCB7C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57150</xdr:rowOff>
        </xdr:from>
        <xdr:to>
          <xdr:col>5</xdr:col>
          <xdr:colOff>266700</xdr:colOff>
          <xdr:row>2</xdr:row>
          <xdr:rowOff>419100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D80A44D9-6B78-40BB-9613-8599F515A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338667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142875</xdr:rowOff>
        </xdr:from>
        <xdr:to>
          <xdr:col>0</xdr:col>
          <xdr:colOff>447675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0</xdr:row>
          <xdr:rowOff>152400</xdr:rowOff>
        </xdr:from>
        <xdr:to>
          <xdr:col>18</xdr:col>
          <xdr:colOff>457200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133350</xdr:colOff>
          <xdr:row>0</xdr:row>
          <xdr:rowOff>161925</xdr:rowOff>
        </xdr:from>
        <xdr:to>
          <xdr:col>36</xdr:col>
          <xdr:colOff>466725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31750</xdr:colOff>
      <xdr:row>2</xdr:row>
      <xdr:rowOff>36511</xdr:rowOff>
    </xdr:from>
    <xdr:to>
      <xdr:col>25</xdr:col>
      <xdr:colOff>571500</xdr:colOff>
      <xdr:row>19</xdr:row>
      <xdr:rowOff>142874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F4E4844-9205-4DBE-A51E-F01FB0768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47624</xdr:colOff>
      <xdr:row>2</xdr:row>
      <xdr:rowOff>63500</xdr:rowOff>
    </xdr:from>
    <xdr:to>
      <xdr:col>34</xdr:col>
      <xdr:colOff>507999</xdr:colOff>
      <xdr:row>19</xdr:row>
      <xdr:rowOff>127000</xdr:rowOff>
    </xdr:to>
    <xdr:graphicFrame macro="">
      <xdr:nvGraphicFramePr>
        <xdr:cNvPr id="7" name="Gráfico 3">
          <a:extLst>
            <a:ext uri="{FF2B5EF4-FFF2-40B4-BE49-F238E27FC236}">
              <a16:creationId xmlns:a16="http://schemas.microsoft.com/office/drawing/2014/main" id="{2B3377A3-5630-4FB6-97D3-4917A308E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yury Dark" refreshedDate="44563.753964930555" createdVersion="7" refreshedVersion="7" minRefreshableVersion="3" recordCount="31" xr:uid="{FB78B9DC-13A0-4A17-AD5D-69433B4E780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yury Dark" refreshedDate="44563.753965277778" createdVersion="6" refreshedVersion="7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133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4" type="button" dataOnly="0" labelOnly="1" outline="0" axis="axisRow" fieldPosition="0"/>
    </format>
    <format dxfId="116">
      <pivotArea dataOnly="0" labelOnly="1" fieldPosition="0">
        <references count="1">
          <reference field="4" count="0"/>
        </references>
      </pivotArea>
    </format>
    <format dxfId="115">
      <pivotArea dataOnly="0" labelOnly="1" grandRow="1" outline="0" fieldPosition="0"/>
    </format>
    <format dxfId="1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4" type="button" dataOnly="0" labelOnly="1" outline="0" axis="axisRow" fieldPosition="0"/>
    </format>
    <format dxfId="110">
      <pivotArea dataOnly="0" labelOnly="1" outline="0" fieldPosition="0">
        <references count="1">
          <reference field="4" count="0"/>
        </references>
      </pivotArea>
    </format>
    <format dxfId="109">
      <pivotArea dataOnly="0" labelOnly="1" grandRow="1" outline="0" fieldPosition="0"/>
    </format>
    <format dxfId="1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26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133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34">
      <pivotArea outline="0" collapsedLevelsAreSubtotals="1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7" type="button" dataOnly="0" labelOnly="1" outline="0"/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outline="0" fieldPosition="0">
        <references count="1">
          <reference field="4294967294" count="1">
            <x v="0"/>
          </reference>
        </references>
      </pivotArea>
    </format>
    <format dxfId="125">
      <pivotArea outline="0" collapsedLevelsAreSubtotals="1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7" type="button" dataOnly="0" labelOnly="1" outline="0"/>
    </format>
    <format dxfId="121">
      <pivotArea dataOnly="0" labelOnly="1" grandRow="1" outline="0" fieldPosition="0"/>
    </format>
    <format dxfId="120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26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FD081-F249-4625-B27F-54CD6CC7A414}" name="Tabela dinâmica1" cacheId="12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6" baseItem="1" numFmtId="44"/>
  </dataFields>
  <chartFormats count="6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1-01T00:00:00" endDate="2020-12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0" scrollPosition="2019-01-01T00:00:00" style="TimeSlicerStyleDark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0" scrollPosition="2019-01-01T00:00:00" style="TimeSlicerStyleLight4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1/relationships/timeline" Target="../timelines/timelin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E7" sqref="E7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3E59-E29D-4181-8432-9F953CDD0DE5}">
  <sheetPr codeName="Planilha5"/>
  <dimension ref="A1:M36"/>
  <sheetViews>
    <sheetView tabSelected="1" workbookViewId="0">
      <selection activeCell="A2" sqref="A2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s="1" customFormat="1" x14ac:dyDescent="0.25">
      <c r="A1" s="37" t="s">
        <v>0</v>
      </c>
      <c r="B1" s="38" t="s">
        <v>2</v>
      </c>
      <c r="C1" s="38" t="s">
        <v>3</v>
      </c>
      <c r="D1" s="39" t="s">
        <v>13</v>
      </c>
      <c r="E1" s="38" t="s">
        <v>1</v>
      </c>
      <c r="F1" s="38" t="s">
        <v>21</v>
      </c>
      <c r="G1" s="38" t="s">
        <v>6</v>
      </c>
      <c r="H1" s="38" t="s">
        <v>7</v>
      </c>
      <c r="I1" s="38" t="s">
        <v>8</v>
      </c>
      <c r="J1" s="38" t="s">
        <v>12</v>
      </c>
      <c r="K1" s="38" t="s">
        <v>9</v>
      </c>
      <c r="L1" s="38" t="s">
        <v>10</v>
      </c>
      <c r="M1" s="40" t="s">
        <v>11</v>
      </c>
    </row>
    <row r="2" spans="1:13" s="45" customFormat="1" ht="32.25" customHeight="1" thickBot="1" x14ac:dyDescent="0.3">
      <c r="A2" s="42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1:13" ht="36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6" spans="1:13" x14ac:dyDescent="0.25">
      <c r="A6" s="1" t="s">
        <v>0</v>
      </c>
      <c r="B6" s="1" t="s">
        <v>2</v>
      </c>
      <c r="C6" s="1" t="s">
        <v>3</v>
      </c>
      <c r="D6" s="2" t="s">
        <v>13</v>
      </c>
      <c r="E6" s="1" t="s">
        <v>1</v>
      </c>
      <c r="F6" s="1" t="s">
        <v>21</v>
      </c>
      <c r="G6" s="1" t="s">
        <v>6</v>
      </c>
      <c r="H6" s="1" t="s">
        <v>7</v>
      </c>
      <c r="I6" s="1" t="s">
        <v>8</v>
      </c>
      <c r="J6" s="1" t="s">
        <v>12</v>
      </c>
      <c r="K6" s="1" t="s">
        <v>9</v>
      </c>
      <c r="L6" s="1" t="s">
        <v>10</v>
      </c>
      <c r="M6" s="1" t="s">
        <v>11</v>
      </c>
    </row>
    <row r="7" spans="1:13" x14ac:dyDescent="0.25">
      <c r="A7" t="s">
        <v>4</v>
      </c>
      <c r="B7" s="5">
        <v>43525</v>
      </c>
      <c r="C7" t="s">
        <v>18</v>
      </c>
      <c r="D7" s="3">
        <v>869.32</v>
      </c>
      <c r="E7" t="s">
        <v>20</v>
      </c>
      <c r="F7" s="4">
        <v>25</v>
      </c>
      <c r="G7" t="s">
        <v>22</v>
      </c>
      <c r="H7" s="4" t="s">
        <v>23</v>
      </c>
      <c r="I7" s="5">
        <v>43529</v>
      </c>
      <c r="J7" s="4" t="s">
        <v>24</v>
      </c>
      <c r="K7" s="4" t="s">
        <v>27</v>
      </c>
      <c r="L7" s="5">
        <v>43529</v>
      </c>
      <c r="M7" s="4" t="s">
        <v>24</v>
      </c>
    </row>
    <row r="8" spans="1:13" x14ac:dyDescent="0.25">
      <c r="A8" t="s">
        <v>4</v>
      </c>
      <c r="B8" s="5">
        <v>43570</v>
      </c>
      <c r="C8" t="s">
        <v>18</v>
      </c>
      <c r="D8" s="3">
        <v>586.32000000000005</v>
      </c>
      <c r="E8" t="s">
        <v>5</v>
      </c>
      <c r="F8" s="4">
        <v>16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43575</v>
      </c>
      <c r="C9" t="s">
        <v>18</v>
      </c>
      <c r="D9" s="3">
        <v>256.32</v>
      </c>
      <c r="E9" t="s">
        <v>5</v>
      </c>
      <c r="F9" s="4">
        <v>9</v>
      </c>
      <c r="G9" t="s">
        <v>22</v>
      </c>
      <c r="H9" s="4" t="s">
        <v>23</v>
      </c>
      <c r="I9" s="5">
        <v>43575</v>
      </c>
      <c r="J9" s="4" t="s">
        <v>24</v>
      </c>
      <c r="K9" s="4" t="s">
        <v>28</v>
      </c>
      <c r="L9" s="5">
        <v>43575</v>
      </c>
      <c r="M9" s="4" t="s">
        <v>24</v>
      </c>
    </row>
    <row r="10" spans="1:13" x14ac:dyDescent="0.25">
      <c r="A10" t="s">
        <v>4</v>
      </c>
      <c r="B10" s="5">
        <v>43744</v>
      </c>
      <c r="C10" t="s">
        <v>18</v>
      </c>
      <c r="D10" s="3">
        <v>726.32</v>
      </c>
      <c r="E10" t="s">
        <v>20</v>
      </c>
      <c r="F10" s="4">
        <v>23</v>
      </c>
      <c r="G10" t="s">
        <v>22</v>
      </c>
      <c r="H10" s="4" t="s">
        <v>23</v>
      </c>
      <c r="I10" s="5">
        <v>43748</v>
      </c>
      <c r="J10" s="4" t="s">
        <v>25</v>
      </c>
      <c r="K10" s="4" t="s">
        <v>27</v>
      </c>
      <c r="L10" s="5">
        <v>43748</v>
      </c>
      <c r="M10" s="4" t="s">
        <v>25</v>
      </c>
    </row>
    <row r="11" spans="1:13" x14ac:dyDescent="0.25">
      <c r="A11" t="s">
        <v>4</v>
      </c>
      <c r="B11" s="5">
        <v>43779</v>
      </c>
      <c r="C11" t="s">
        <v>19</v>
      </c>
      <c r="D11" s="3">
        <v>452.12</v>
      </c>
      <c r="E11" t="s">
        <v>5</v>
      </c>
      <c r="F11" s="4">
        <v>14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4</v>
      </c>
      <c r="B12" s="5">
        <v>43810</v>
      </c>
      <c r="C12" t="s">
        <v>19</v>
      </c>
      <c r="D12" s="3">
        <v>956.32</v>
      </c>
      <c r="E12" t="s">
        <v>20</v>
      </c>
      <c r="F12" s="4">
        <v>28</v>
      </c>
      <c r="G12" t="s">
        <v>22</v>
      </c>
      <c r="H12" s="4" t="s">
        <v>23</v>
      </c>
      <c r="I12" s="5">
        <v>43819</v>
      </c>
      <c r="J12" s="4" t="s">
        <v>26</v>
      </c>
      <c r="K12" s="4" t="s">
        <v>27</v>
      </c>
      <c r="L12" s="5">
        <v>43819</v>
      </c>
      <c r="M12" s="4" t="s">
        <v>26</v>
      </c>
    </row>
    <row r="13" spans="1:13" x14ac:dyDescent="0.25">
      <c r="A13" t="s">
        <v>14</v>
      </c>
      <c r="B13" s="5">
        <v>43557</v>
      </c>
      <c r="C13" t="s">
        <v>18</v>
      </c>
      <c r="D13" s="3">
        <v>2395</v>
      </c>
      <c r="E13" t="s">
        <v>29</v>
      </c>
      <c r="F13" s="4">
        <v>343</v>
      </c>
      <c r="G13" t="s">
        <v>31</v>
      </c>
      <c r="H13" s="4" t="s">
        <v>30</v>
      </c>
      <c r="I13" s="5">
        <v>43567</v>
      </c>
      <c r="J13" s="4" t="s">
        <v>24</v>
      </c>
      <c r="K13" s="4" t="s">
        <v>27</v>
      </c>
      <c r="L13" s="5">
        <v>43570</v>
      </c>
      <c r="M13" s="4" t="s">
        <v>24</v>
      </c>
    </row>
    <row r="14" spans="1:13" x14ac:dyDescent="0.25">
      <c r="A14" t="s">
        <v>14</v>
      </c>
      <c r="B14" s="5">
        <v>43588</v>
      </c>
      <c r="C14" t="s">
        <v>18</v>
      </c>
      <c r="D14" s="3">
        <v>1745.6268221574344</v>
      </c>
      <c r="E14" t="s">
        <v>29</v>
      </c>
      <c r="F14" s="4">
        <v>250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43594</v>
      </c>
      <c r="C15" t="s">
        <v>18</v>
      </c>
      <c r="D15" s="3">
        <v>907.72594752186592</v>
      </c>
      <c r="E15" t="s">
        <v>29</v>
      </c>
      <c r="F15" s="4">
        <v>130</v>
      </c>
      <c r="G15" t="s">
        <v>31</v>
      </c>
      <c r="H15" s="4" t="s">
        <v>30</v>
      </c>
      <c r="I15" s="5">
        <v>43595</v>
      </c>
      <c r="J15" s="4" t="s">
        <v>24</v>
      </c>
      <c r="K15" s="4" t="s">
        <v>28</v>
      </c>
      <c r="L15" s="5">
        <v>43598</v>
      </c>
      <c r="M15" s="4" t="s">
        <v>25</v>
      </c>
    </row>
    <row r="16" spans="1:13" x14ac:dyDescent="0.25">
      <c r="A16" t="s">
        <v>14</v>
      </c>
      <c r="B16" s="5">
        <v>43605</v>
      </c>
      <c r="C16" t="s">
        <v>18</v>
      </c>
      <c r="D16" s="3">
        <v>1955.1020408163265</v>
      </c>
      <c r="E16" t="s">
        <v>29</v>
      </c>
      <c r="F16" s="4">
        <v>280</v>
      </c>
      <c r="G16" t="s">
        <v>31</v>
      </c>
      <c r="H16" s="4" t="s">
        <v>30</v>
      </c>
      <c r="I16" s="5">
        <v>43607</v>
      </c>
      <c r="J16" s="4" t="s">
        <v>24</v>
      </c>
      <c r="K16" s="4" t="s">
        <v>27</v>
      </c>
      <c r="L16" s="5">
        <v>43610</v>
      </c>
      <c r="M16" s="4" t="s">
        <v>24</v>
      </c>
    </row>
    <row r="17" spans="1:13" x14ac:dyDescent="0.25">
      <c r="A17" t="s">
        <v>14</v>
      </c>
      <c r="B17" s="5">
        <v>43663</v>
      </c>
      <c r="C17" t="s">
        <v>18</v>
      </c>
      <c r="D17" s="3">
        <v>1326.6763848396502</v>
      </c>
      <c r="E17" t="s">
        <v>29</v>
      </c>
      <c r="F17" s="4">
        <v>190</v>
      </c>
      <c r="G17" t="s">
        <v>31</v>
      </c>
      <c r="H17" s="4" t="s">
        <v>30</v>
      </c>
      <c r="I17" s="5">
        <v>43666</v>
      </c>
      <c r="J17" s="4" t="s">
        <v>24</v>
      </c>
      <c r="K17" s="4" t="s">
        <v>27</v>
      </c>
      <c r="L17" s="5">
        <v>43669</v>
      </c>
      <c r="M17" s="4" t="s">
        <v>24</v>
      </c>
    </row>
    <row r="18" spans="1:13" x14ac:dyDescent="0.25">
      <c r="A18" t="s">
        <v>15</v>
      </c>
      <c r="B18" s="5">
        <v>43652</v>
      </c>
      <c r="C18" t="s">
        <v>18</v>
      </c>
      <c r="D18" s="3">
        <v>600</v>
      </c>
      <c r="E18" t="s">
        <v>32</v>
      </c>
      <c r="F18" s="4">
        <v>15</v>
      </c>
      <c r="G18" t="s">
        <v>22</v>
      </c>
      <c r="H18" s="4" t="s">
        <v>37</v>
      </c>
      <c r="I18" s="5">
        <v>43653</v>
      </c>
      <c r="J18" s="4" t="s">
        <v>24</v>
      </c>
      <c r="K18" s="4" t="s">
        <v>38</v>
      </c>
      <c r="L18" s="5">
        <v>43658</v>
      </c>
      <c r="M18" s="4" t="s">
        <v>24</v>
      </c>
    </row>
    <row r="19" spans="1:13" x14ac:dyDescent="0.25">
      <c r="A19" t="s">
        <v>15</v>
      </c>
      <c r="B19" s="5">
        <v>43687</v>
      </c>
      <c r="C19" t="s">
        <v>18</v>
      </c>
      <c r="D19" s="3">
        <v>920</v>
      </c>
      <c r="E19" t="s">
        <v>33</v>
      </c>
      <c r="F19" s="4">
        <v>23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38</v>
      </c>
      <c r="L19" s="5">
        <v>43668</v>
      </c>
      <c r="M19" s="4" t="s">
        <v>25</v>
      </c>
    </row>
    <row r="20" spans="1:13" x14ac:dyDescent="0.25">
      <c r="A20" t="s">
        <v>15</v>
      </c>
      <c r="B20" s="5">
        <v>43692</v>
      </c>
      <c r="C20" t="s">
        <v>18</v>
      </c>
      <c r="D20" s="3">
        <v>440</v>
      </c>
      <c r="E20" t="s">
        <v>32</v>
      </c>
      <c r="F20" s="4">
        <v>11</v>
      </c>
      <c r="G20" t="s">
        <v>22</v>
      </c>
      <c r="H20" s="4" t="s">
        <v>37</v>
      </c>
      <c r="I20" s="5">
        <v>43693</v>
      </c>
      <c r="J20" s="4" t="s">
        <v>24</v>
      </c>
      <c r="K20" s="4" t="s">
        <v>27</v>
      </c>
      <c r="L20" s="5">
        <v>43700</v>
      </c>
      <c r="M20" s="4" t="s">
        <v>25</v>
      </c>
    </row>
    <row r="21" spans="1:13" x14ac:dyDescent="0.25">
      <c r="A21" t="s">
        <v>15</v>
      </c>
      <c r="B21" s="5">
        <v>43758</v>
      </c>
      <c r="C21" t="s">
        <v>18</v>
      </c>
      <c r="D21" s="3">
        <v>680</v>
      </c>
      <c r="E21" t="s">
        <v>32</v>
      </c>
      <c r="F21" s="4">
        <v>17</v>
      </c>
      <c r="G21" t="s">
        <v>22</v>
      </c>
      <c r="H21" s="4" t="s">
        <v>37</v>
      </c>
      <c r="I21" s="5">
        <v>43760</v>
      </c>
      <c r="J21" s="4" t="s">
        <v>24</v>
      </c>
      <c r="K21" s="4" t="s">
        <v>23</v>
      </c>
      <c r="L21" s="5">
        <v>43766</v>
      </c>
      <c r="M21" s="4" t="s">
        <v>24</v>
      </c>
    </row>
    <row r="22" spans="1:13" x14ac:dyDescent="0.25">
      <c r="A22" t="s">
        <v>15</v>
      </c>
      <c r="B22" s="5">
        <v>43800</v>
      </c>
      <c r="C22" t="s">
        <v>19</v>
      </c>
      <c r="D22" s="3">
        <v>120</v>
      </c>
      <c r="E22" t="s">
        <v>34</v>
      </c>
      <c r="F22" s="4">
        <v>3</v>
      </c>
      <c r="G22" t="s">
        <v>22</v>
      </c>
      <c r="H22" s="4" t="s">
        <v>37</v>
      </c>
      <c r="I22" s="5">
        <v>43804</v>
      </c>
      <c r="J22" s="4" t="s">
        <v>26</v>
      </c>
      <c r="K22" s="4" t="s">
        <v>27</v>
      </c>
      <c r="L22" s="5">
        <v>43811</v>
      </c>
      <c r="M22" s="4" t="s">
        <v>26</v>
      </c>
    </row>
    <row r="23" spans="1:13" x14ac:dyDescent="0.25">
      <c r="A23" t="s">
        <v>15</v>
      </c>
      <c r="B23" s="5">
        <v>43833</v>
      </c>
      <c r="C23" t="s">
        <v>19</v>
      </c>
      <c r="D23" s="3">
        <v>480</v>
      </c>
      <c r="E23" t="s">
        <v>32</v>
      </c>
      <c r="F23" s="4">
        <v>12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15</v>
      </c>
      <c r="B24" s="5">
        <v>43845</v>
      </c>
      <c r="C24" t="s">
        <v>19</v>
      </c>
      <c r="D24" s="3">
        <v>80</v>
      </c>
      <c r="E24" t="s">
        <v>34</v>
      </c>
      <c r="F24" s="4">
        <v>2</v>
      </c>
      <c r="G24" t="s">
        <v>22</v>
      </c>
      <c r="H24" s="4" t="s">
        <v>37</v>
      </c>
      <c r="I24" s="5">
        <v>43845</v>
      </c>
      <c r="J24" s="4" t="s">
        <v>26</v>
      </c>
      <c r="K24" s="4" t="s">
        <v>27</v>
      </c>
      <c r="L24" s="5">
        <v>43486</v>
      </c>
      <c r="M24" s="4" t="s">
        <v>26</v>
      </c>
    </row>
    <row r="25" spans="1:13" x14ac:dyDescent="0.25">
      <c r="A25" t="s">
        <v>16</v>
      </c>
      <c r="B25" s="5">
        <v>43714</v>
      </c>
      <c r="C25" t="s">
        <v>18</v>
      </c>
      <c r="D25" s="3">
        <v>1800</v>
      </c>
      <c r="E25" t="s">
        <v>35</v>
      </c>
      <c r="F25" s="4">
        <v>430</v>
      </c>
      <c r="G25" t="s">
        <v>36</v>
      </c>
      <c r="H25" s="4" t="s">
        <v>27</v>
      </c>
      <c r="I25" s="5">
        <v>43715</v>
      </c>
      <c r="J25" s="4" t="s">
        <v>24</v>
      </c>
      <c r="K25" s="4" t="s">
        <v>27</v>
      </c>
      <c r="L25" s="5">
        <v>43715</v>
      </c>
      <c r="M25" s="4" t="s">
        <v>24</v>
      </c>
    </row>
    <row r="26" spans="1:13" x14ac:dyDescent="0.25">
      <c r="A26" t="s">
        <v>16</v>
      </c>
      <c r="B26" s="5">
        <v>43753</v>
      </c>
      <c r="C26" t="s">
        <v>18</v>
      </c>
      <c r="D26" s="3">
        <v>1883.7209302325582</v>
      </c>
      <c r="E26" t="s">
        <v>35</v>
      </c>
      <c r="F26" s="4">
        <v>450</v>
      </c>
      <c r="G26" t="s">
        <v>36</v>
      </c>
      <c r="H26" s="4" t="s">
        <v>27</v>
      </c>
      <c r="I26" s="5">
        <v>43754</v>
      </c>
      <c r="J26" s="4" t="s">
        <v>24</v>
      </c>
      <c r="K26" s="4" t="s">
        <v>27</v>
      </c>
      <c r="L26" s="5">
        <v>43754</v>
      </c>
      <c r="M26" s="4" t="s">
        <v>24</v>
      </c>
    </row>
    <row r="27" spans="1:13" x14ac:dyDescent="0.25">
      <c r="A27" t="s">
        <v>16</v>
      </c>
      <c r="B27" s="5">
        <v>43819</v>
      </c>
      <c r="C27" t="s">
        <v>19</v>
      </c>
      <c r="D27" s="3">
        <v>1632.5581395348838</v>
      </c>
      <c r="E27" t="s">
        <v>35</v>
      </c>
      <c r="F27" s="4">
        <v>390</v>
      </c>
      <c r="G27" t="s">
        <v>36</v>
      </c>
      <c r="H27" s="4" t="s">
        <v>27</v>
      </c>
      <c r="I27" s="5">
        <v>43821</v>
      </c>
      <c r="J27" s="4" t="s">
        <v>26</v>
      </c>
      <c r="K27" s="4" t="s">
        <v>27</v>
      </c>
      <c r="L27" s="5">
        <v>43821</v>
      </c>
      <c r="M27" s="4" t="s">
        <v>26</v>
      </c>
    </row>
    <row r="28" spans="1:13" x14ac:dyDescent="0.25">
      <c r="A28" t="s">
        <v>17</v>
      </c>
      <c r="B28" s="5">
        <v>43556</v>
      </c>
      <c r="C28" t="s">
        <v>18</v>
      </c>
      <c r="D28" s="3">
        <v>916.12500000000011</v>
      </c>
      <c r="E28" t="s">
        <v>39</v>
      </c>
      <c r="F28" s="4">
        <v>25</v>
      </c>
      <c r="G28" t="s">
        <v>22</v>
      </c>
      <c r="H28" s="4" t="s">
        <v>27</v>
      </c>
      <c r="I28" s="5">
        <v>43560</v>
      </c>
      <c r="J28" s="4" t="s">
        <v>24</v>
      </c>
      <c r="K28" s="4" t="s">
        <v>27</v>
      </c>
      <c r="L28" s="5">
        <v>43560</v>
      </c>
      <c r="M28" s="4" t="s">
        <v>24</v>
      </c>
    </row>
    <row r="29" spans="1:13" x14ac:dyDescent="0.25">
      <c r="A29" t="s">
        <v>17</v>
      </c>
      <c r="B29" s="5">
        <v>43592</v>
      </c>
      <c r="C29" t="s">
        <v>18</v>
      </c>
      <c r="D29" s="3">
        <v>854.4</v>
      </c>
      <c r="E29" t="s">
        <v>39</v>
      </c>
      <c r="F29" s="4">
        <v>30</v>
      </c>
      <c r="G29" t="s">
        <v>22</v>
      </c>
      <c r="H29" s="4" t="s">
        <v>27</v>
      </c>
      <c r="I29" s="5">
        <v>43595</v>
      </c>
      <c r="J29" s="4" t="s">
        <v>24</v>
      </c>
      <c r="K29" s="4" t="s">
        <v>27</v>
      </c>
      <c r="L29" s="5">
        <v>43595</v>
      </c>
      <c r="M29" s="4" t="s">
        <v>24</v>
      </c>
    </row>
    <row r="30" spans="1:13" x14ac:dyDescent="0.25">
      <c r="A30" t="s">
        <v>17</v>
      </c>
      <c r="B30" s="5">
        <v>43605</v>
      </c>
      <c r="C30" t="s">
        <v>18</v>
      </c>
      <c r="D30" s="3">
        <v>884.2156521739131</v>
      </c>
      <c r="E30" t="s">
        <v>39</v>
      </c>
      <c r="F30" s="4">
        <v>28</v>
      </c>
      <c r="G30" t="s">
        <v>22</v>
      </c>
      <c r="H30" s="4" t="s">
        <v>27</v>
      </c>
      <c r="I30" s="5">
        <v>43607</v>
      </c>
      <c r="J30" s="4" t="s">
        <v>24</v>
      </c>
      <c r="K30" s="4" t="s">
        <v>27</v>
      </c>
      <c r="L30" s="5">
        <v>43607</v>
      </c>
      <c r="M30" s="4" t="s">
        <v>24</v>
      </c>
    </row>
    <row r="31" spans="1:13" x14ac:dyDescent="0.25">
      <c r="A31" t="s">
        <v>17</v>
      </c>
      <c r="B31" s="5">
        <v>43799</v>
      </c>
      <c r="C31" t="s">
        <v>18</v>
      </c>
      <c r="D31" s="3">
        <v>645.88571428571424</v>
      </c>
      <c r="E31" t="s">
        <v>39</v>
      </c>
      <c r="F31" s="4">
        <v>20</v>
      </c>
      <c r="G31" t="s">
        <v>22</v>
      </c>
      <c r="H31" s="4" t="s">
        <v>27</v>
      </c>
      <c r="I31" s="5">
        <v>43804</v>
      </c>
      <c r="J31" s="4" t="s">
        <v>24</v>
      </c>
      <c r="K31" s="4" t="s">
        <v>27</v>
      </c>
      <c r="L31" s="5">
        <v>43804</v>
      </c>
      <c r="M31" s="4" t="s">
        <v>24</v>
      </c>
    </row>
    <row r="32" spans="1:13" x14ac:dyDescent="0.25">
      <c r="A32" t="s">
        <v>17</v>
      </c>
      <c r="B32" s="5">
        <v>43806</v>
      </c>
      <c r="C32" t="s">
        <v>19</v>
      </c>
      <c r="D32" s="3">
        <v>614.77714285714285</v>
      </c>
      <c r="E32" t="s">
        <v>39</v>
      </c>
      <c r="F32" s="4">
        <v>18</v>
      </c>
      <c r="G32" t="s">
        <v>22</v>
      </c>
      <c r="H32" s="4" t="s">
        <v>27</v>
      </c>
      <c r="I32" s="5">
        <v>43808</v>
      </c>
      <c r="J32" s="4" t="s">
        <v>52</v>
      </c>
      <c r="K32" s="4" t="s">
        <v>27</v>
      </c>
      <c r="L32" s="5">
        <v>43808</v>
      </c>
      <c r="M32" s="4" t="s">
        <v>52</v>
      </c>
    </row>
    <row r="33" spans="1:13" x14ac:dyDescent="0.25">
      <c r="A33" t="s">
        <v>17</v>
      </c>
      <c r="B33" s="5">
        <v>43840</v>
      </c>
      <c r="C33" t="s">
        <v>19</v>
      </c>
      <c r="D33" s="3">
        <v>174.56268221574345</v>
      </c>
      <c r="E33" t="s">
        <v>39</v>
      </c>
      <c r="F33" s="4">
        <v>25</v>
      </c>
      <c r="G33" t="s">
        <v>22</v>
      </c>
      <c r="H33" s="4" t="s">
        <v>27</v>
      </c>
      <c r="I33" s="5">
        <v>43842</v>
      </c>
      <c r="J33" s="4" t="s">
        <v>26</v>
      </c>
      <c r="K33" s="4" t="s">
        <v>27</v>
      </c>
      <c r="L33" s="5">
        <v>43842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36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  <row r="36" spans="1:13" x14ac:dyDescent="0.25">
      <c r="A36" t="s">
        <v>17</v>
      </c>
      <c r="B36" s="5">
        <v>43852</v>
      </c>
      <c r="C36" t="s">
        <v>19</v>
      </c>
      <c r="D36" s="3">
        <v>251.37026239067058</v>
      </c>
      <c r="E36" t="s">
        <v>39</v>
      </c>
      <c r="F36" s="4">
        <v>100</v>
      </c>
      <c r="G36" t="s">
        <v>22</v>
      </c>
      <c r="H36" s="4" t="s">
        <v>27</v>
      </c>
      <c r="I36" s="5">
        <v>43854</v>
      </c>
      <c r="J36" s="4" t="s">
        <v>26</v>
      </c>
      <c r="K36" s="4" t="s">
        <v>27</v>
      </c>
      <c r="L36" s="5">
        <v>43854</v>
      </c>
      <c r="M36" s="4" t="s">
        <v>26</v>
      </c>
    </row>
  </sheetData>
  <mergeCells count="1">
    <mergeCell ref="A3:M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57150</xdr:colOff>
                    <xdr:row>2</xdr:row>
                    <xdr:rowOff>57150</xdr:rowOff>
                  </from>
                  <to>
                    <xdr:col>0</xdr:col>
                    <xdr:colOff>1590675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28575</xdr:colOff>
                    <xdr:row>2</xdr:row>
                    <xdr:rowOff>57150</xdr:rowOff>
                  </from>
                  <to>
                    <xdr:col>2</xdr:col>
                    <xdr:colOff>676275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iltrarSP">
                <anchor moveWithCells="1" sizeWithCells="1">
                  <from>
                    <xdr:col>2</xdr:col>
                    <xdr:colOff>771525</xdr:colOff>
                    <xdr:row>2</xdr:row>
                    <xdr:rowOff>57150</xdr:rowOff>
                  </from>
                  <to>
                    <xdr:col>3</xdr:col>
                    <xdr:colOff>1133475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ApagarFiltros">
                <anchor moveWithCells="1" sizeWithCells="1">
                  <from>
                    <xdr:col>4</xdr:col>
                    <xdr:colOff>0</xdr:colOff>
                    <xdr:row>2</xdr:row>
                    <xdr:rowOff>57150</xdr:rowOff>
                  </from>
                  <to>
                    <xdr:col>5</xdr:col>
                    <xdr:colOff>266700</xdr:colOff>
                    <xdr:row>2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9"/>
  <sheetViews>
    <sheetView zoomScale="60" zoomScaleNormal="60" workbookViewId="0">
      <selection activeCell="U27" sqref="U27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customHeight="1" thickBot="1" x14ac:dyDescent="0.45">
      <c r="A1" s="51" t="s">
        <v>53</v>
      </c>
      <c r="B1" s="34" t="s">
        <v>46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50" t="s">
        <v>54</v>
      </c>
      <c r="T1" s="15" t="s">
        <v>46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7"/>
      <c r="AK1" s="52" t="s">
        <v>55</v>
      </c>
      <c r="AL1" s="15" t="s">
        <v>46</v>
      </c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7"/>
    </row>
    <row r="2" spans="1:54" ht="15" customHeight="1" thickBot="1" x14ac:dyDescent="0.45">
      <c r="A2" s="51"/>
      <c r="B2" s="31" t="str">
        <f>IF(I16&lt;'Indicadores Base'!A2,"Média de peso abaixo do normal","")</f>
        <v/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  <c r="S2" s="5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52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52"/>
      <c r="B3" s="21"/>
      <c r="C3" s="22"/>
      <c r="D3" s="22"/>
      <c r="E3" s="22"/>
      <c r="F3" s="22"/>
      <c r="G3" s="22"/>
      <c r="H3" s="23"/>
      <c r="I3" s="14" t="s">
        <v>45</v>
      </c>
      <c r="J3" s="21"/>
      <c r="K3" s="22"/>
      <c r="L3" s="22"/>
      <c r="M3" s="22"/>
      <c r="N3" s="22"/>
      <c r="O3" s="22"/>
      <c r="P3" s="22"/>
      <c r="Q3" s="23"/>
      <c r="R3" s="14" t="s">
        <v>49</v>
      </c>
      <c r="S3" s="50"/>
      <c r="T3" s="18"/>
      <c r="U3" s="19"/>
      <c r="V3" s="19"/>
      <c r="W3" s="19"/>
      <c r="X3" s="19"/>
      <c r="Y3" s="19"/>
      <c r="Z3" s="20"/>
      <c r="AA3" s="10" t="s">
        <v>45</v>
      </c>
      <c r="AB3" s="18"/>
      <c r="AC3" s="19"/>
      <c r="AD3" s="19"/>
      <c r="AE3" s="19"/>
      <c r="AF3" s="19"/>
      <c r="AG3" s="19"/>
      <c r="AH3" s="19"/>
      <c r="AI3" s="20"/>
      <c r="AJ3" s="10" t="s">
        <v>49</v>
      </c>
      <c r="AK3" s="52"/>
      <c r="AL3" s="18"/>
      <c r="AM3" s="19"/>
      <c r="AN3" s="19"/>
      <c r="AO3" s="19"/>
      <c r="AP3" s="19"/>
      <c r="AQ3" s="19"/>
      <c r="AR3" s="20"/>
      <c r="AS3" s="10" t="s">
        <v>45</v>
      </c>
      <c r="AT3" s="18"/>
      <c r="AU3" s="19"/>
      <c r="AV3" s="19"/>
      <c r="AW3" s="19"/>
      <c r="AX3" s="19"/>
      <c r="AY3" s="19"/>
      <c r="AZ3" s="19"/>
      <c r="BA3" s="20"/>
      <c r="BB3" s="10" t="s">
        <v>49</v>
      </c>
    </row>
    <row r="4" spans="1:54" x14ac:dyDescent="0.25">
      <c r="A4" s="52"/>
      <c r="B4" s="21"/>
      <c r="C4" s="22"/>
      <c r="D4" s="22"/>
      <c r="E4" s="22"/>
      <c r="F4" s="22"/>
      <c r="G4" s="22"/>
      <c r="H4" s="23"/>
      <c r="I4" s="27">
        <f>GETPIVOTDATA("Soma de Peso (Kg)",'Tabelas Dinamicas'!$D$10)</f>
        <v>3043</v>
      </c>
      <c r="J4" s="21"/>
      <c r="K4" s="22"/>
      <c r="L4" s="22"/>
      <c r="M4" s="22"/>
      <c r="N4" s="22"/>
      <c r="O4" s="22"/>
      <c r="P4" s="22"/>
      <c r="Q4" s="23"/>
      <c r="R4" s="29">
        <f>GETPIVOTDATA("Valor do Contrato",'Tabelas Dinamicas'!$A$10)</f>
        <v>25657.207243807243</v>
      </c>
      <c r="S4" s="50"/>
      <c r="T4" s="21"/>
      <c r="U4" s="22"/>
      <c r="V4" s="22"/>
      <c r="W4" s="22"/>
      <c r="X4" s="22"/>
      <c r="Y4" s="22"/>
      <c r="Z4" s="23"/>
      <c r="AA4" s="27">
        <f>GETPIVOTDATA("Soma de Peso (Kg)",'Tabelas Dinamicas'!$D$10)</f>
        <v>3043</v>
      </c>
      <c r="AB4" s="21"/>
      <c r="AC4" s="22"/>
      <c r="AD4" s="22"/>
      <c r="AE4" s="22"/>
      <c r="AF4" s="22"/>
      <c r="AG4" s="22"/>
      <c r="AH4" s="22"/>
      <c r="AI4" s="23"/>
      <c r="AJ4" s="29">
        <f>GETPIVOTDATA("Valor do Contrato",'Tabelas Dinamicas'!$A$10)</f>
        <v>25657.207243807243</v>
      </c>
      <c r="AK4" s="52"/>
      <c r="AL4" s="21"/>
      <c r="AM4" s="22"/>
      <c r="AN4" s="22"/>
      <c r="AO4" s="22"/>
      <c r="AP4" s="22"/>
      <c r="AQ4" s="22"/>
      <c r="AR4" s="23"/>
      <c r="AS4" s="27">
        <f>GETPIVOTDATA("Soma de Peso (Kg)",'Tabelas Dinamicas'!$D$10)</f>
        <v>3043</v>
      </c>
      <c r="AT4" s="21"/>
      <c r="AU4" s="22"/>
      <c r="AV4" s="22"/>
      <c r="AW4" s="22"/>
      <c r="AX4" s="22"/>
      <c r="AY4" s="22"/>
      <c r="AZ4" s="22"/>
      <c r="BA4" s="23"/>
      <c r="BB4" s="29">
        <f>GETPIVOTDATA("Valor do Contrato",'Tabelas Dinamicas'!$A$10)</f>
        <v>25657.207243807243</v>
      </c>
    </row>
    <row r="5" spans="1:54" x14ac:dyDescent="0.25">
      <c r="A5" s="52"/>
      <c r="B5" s="21"/>
      <c r="C5" s="22"/>
      <c r="D5" s="22"/>
      <c r="E5" s="22"/>
      <c r="F5" s="22"/>
      <c r="G5" s="22"/>
      <c r="H5" s="23"/>
      <c r="I5" s="27"/>
      <c r="J5" s="21"/>
      <c r="K5" s="22"/>
      <c r="L5" s="22"/>
      <c r="M5" s="22"/>
      <c r="N5" s="22"/>
      <c r="O5" s="22"/>
      <c r="P5" s="22"/>
      <c r="Q5" s="23"/>
      <c r="R5" s="29"/>
      <c r="S5" s="50"/>
      <c r="T5" s="21"/>
      <c r="U5" s="22"/>
      <c r="V5" s="22"/>
      <c r="W5" s="22"/>
      <c r="X5" s="22"/>
      <c r="Y5" s="22"/>
      <c r="Z5" s="23"/>
      <c r="AA5" s="27"/>
      <c r="AB5" s="21"/>
      <c r="AC5" s="22"/>
      <c r="AD5" s="22"/>
      <c r="AE5" s="22"/>
      <c r="AF5" s="22"/>
      <c r="AG5" s="22"/>
      <c r="AH5" s="22"/>
      <c r="AI5" s="23"/>
      <c r="AJ5" s="29"/>
      <c r="AK5" s="52"/>
      <c r="AL5" s="21"/>
      <c r="AM5" s="22"/>
      <c r="AN5" s="22"/>
      <c r="AO5" s="22"/>
      <c r="AP5" s="22"/>
      <c r="AQ5" s="22"/>
      <c r="AR5" s="23"/>
      <c r="AS5" s="27"/>
      <c r="AT5" s="21"/>
      <c r="AU5" s="22"/>
      <c r="AV5" s="22"/>
      <c r="AW5" s="22"/>
      <c r="AX5" s="22"/>
      <c r="AY5" s="22"/>
      <c r="AZ5" s="22"/>
      <c r="BA5" s="23"/>
      <c r="BB5" s="29"/>
    </row>
    <row r="6" spans="1:54" x14ac:dyDescent="0.25">
      <c r="A6" s="52"/>
      <c r="B6" s="21"/>
      <c r="C6" s="22"/>
      <c r="D6" s="22"/>
      <c r="E6" s="22"/>
      <c r="F6" s="22"/>
      <c r="G6" s="22"/>
      <c r="H6" s="23"/>
      <c r="I6" s="27"/>
      <c r="J6" s="21"/>
      <c r="K6" s="22"/>
      <c r="L6" s="22"/>
      <c r="M6" s="22"/>
      <c r="N6" s="22"/>
      <c r="O6" s="22"/>
      <c r="P6" s="22"/>
      <c r="Q6" s="23"/>
      <c r="R6" s="29"/>
      <c r="S6" s="50"/>
      <c r="T6" s="21"/>
      <c r="U6" s="22"/>
      <c r="V6" s="22"/>
      <c r="W6" s="22"/>
      <c r="X6" s="22"/>
      <c r="Y6" s="22"/>
      <c r="Z6" s="23"/>
      <c r="AA6" s="27"/>
      <c r="AB6" s="21"/>
      <c r="AC6" s="22"/>
      <c r="AD6" s="22"/>
      <c r="AE6" s="22"/>
      <c r="AF6" s="22"/>
      <c r="AG6" s="22"/>
      <c r="AH6" s="22"/>
      <c r="AI6" s="23"/>
      <c r="AJ6" s="29"/>
      <c r="AK6" s="52"/>
      <c r="AL6" s="21"/>
      <c r="AM6" s="22"/>
      <c r="AN6" s="22"/>
      <c r="AO6" s="22"/>
      <c r="AP6" s="22"/>
      <c r="AQ6" s="22"/>
      <c r="AR6" s="23"/>
      <c r="AS6" s="27"/>
      <c r="AT6" s="21"/>
      <c r="AU6" s="22"/>
      <c r="AV6" s="22"/>
      <c r="AW6" s="22"/>
      <c r="AX6" s="22"/>
      <c r="AY6" s="22"/>
      <c r="AZ6" s="22"/>
      <c r="BA6" s="23"/>
      <c r="BB6" s="29"/>
    </row>
    <row r="7" spans="1:54" x14ac:dyDescent="0.25">
      <c r="A7" s="52"/>
      <c r="B7" s="21"/>
      <c r="C7" s="22"/>
      <c r="D7" s="22"/>
      <c r="E7" s="22"/>
      <c r="F7" s="22"/>
      <c r="G7" s="22"/>
      <c r="H7" s="23"/>
      <c r="I7" s="27"/>
      <c r="J7" s="21"/>
      <c r="K7" s="22"/>
      <c r="L7" s="22"/>
      <c r="M7" s="22"/>
      <c r="N7" s="22"/>
      <c r="O7" s="22"/>
      <c r="P7" s="22"/>
      <c r="Q7" s="23"/>
      <c r="R7" s="29"/>
      <c r="S7" s="50"/>
      <c r="T7" s="21"/>
      <c r="U7" s="22"/>
      <c r="V7" s="22"/>
      <c r="W7" s="22"/>
      <c r="X7" s="22"/>
      <c r="Y7" s="22"/>
      <c r="Z7" s="23"/>
      <c r="AA7" s="27"/>
      <c r="AB7" s="21"/>
      <c r="AC7" s="22"/>
      <c r="AD7" s="22"/>
      <c r="AE7" s="22"/>
      <c r="AF7" s="22"/>
      <c r="AG7" s="22"/>
      <c r="AH7" s="22"/>
      <c r="AI7" s="23"/>
      <c r="AJ7" s="29"/>
      <c r="AK7" s="52"/>
      <c r="AL7" s="21"/>
      <c r="AM7" s="22"/>
      <c r="AN7" s="22"/>
      <c r="AO7" s="22"/>
      <c r="AP7" s="22"/>
      <c r="AQ7" s="22"/>
      <c r="AR7" s="23"/>
      <c r="AS7" s="27"/>
      <c r="AT7" s="21"/>
      <c r="AU7" s="22"/>
      <c r="AV7" s="22"/>
      <c r="AW7" s="22"/>
      <c r="AX7" s="22"/>
      <c r="AY7" s="22"/>
      <c r="AZ7" s="22"/>
      <c r="BA7" s="23"/>
      <c r="BB7" s="29"/>
    </row>
    <row r="8" spans="1:54" ht="15.75" thickBot="1" x14ac:dyDescent="0.3">
      <c r="A8" s="52"/>
      <c r="B8" s="21"/>
      <c r="C8" s="22"/>
      <c r="D8" s="22"/>
      <c r="E8" s="22"/>
      <c r="F8" s="22"/>
      <c r="G8" s="22"/>
      <c r="H8" s="23"/>
      <c r="I8" s="28"/>
      <c r="J8" s="21"/>
      <c r="K8" s="22"/>
      <c r="L8" s="22"/>
      <c r="M8" s="22"/>
      <c r="N8" s="22"/>
      <c r="O8" s="22"/>
      <c r="P8" s="22"/>
      <c r="Q8" s="23"/>
      <c r="R8" s="30"/>
      <c r="S8" s="50"/>
      <c r="T8" s="21"/>
      <c r="U8" s="22"/>
      <c r="V8" s="22"/>
      <c r="W8" s="22"/>
      <c r="X8" s="22"/>
      <c r="Y8" s="22"/>
      <c r="Z8" s="23"/>
      <c r="AA8" s="28"/>
      <c r="AB8" s="21"/>
      <c r="AC8" s="22"/>
      <c r="AD8" s="22"/>
      <c r="AE8" s="22"/>
      <c r="AF8" s="22"/>
      <c r="AG8" s="22"/>
      <c r="AH8" s="22"/>
      <c r="AI8" s="23"/>
      <c r="AJ8" s="30"/>
      <c r="AK8" s="52"/>
      <c r="AL8" s="21"/>
      <c r="AM8" s="22"/>
      <c r="AN8" s="22"/>
      <c r="AO8" s="22"/>
      <c r="AP8" s="22"/>
      <c r="AQ8" s="22"/>
      <c r="AR8" s="23"/>
      <c r="AS8" s="28"/>
      <c r="AT8" s="21"/>
      <c r="AU8" s="22"/>
      <c r="AV8" s="22"/>
      <c r="AW8" s="22"/>
      <c r="AX8" s="22"/>
      <c r="AY8" s="22"/>
      <c r="AZ8" s="22"/>
      <c r="BA8" s="23"/>
      <c r="BB8" s="30"/>
    </row>
    <row r="9" spans="1:54" x14ac:dyDescent="0.25">
      <c r="A9" s="52"/>
      <c r="B9" s="21"/>
      <c r="C9" s="22"/>
      <c r="D9" s="22"/>
      <c r="E9" s="22"/>
      <c r="F9" s="22"/>
      <c r="G9" s="22"/>
      <c r="H9" s="23"/>
      <c r="I9" s="10" t="s">
        <v>47</v>
      </c>
      <c r="J9" s="21"/>
      <c r="K9" s="22"/>
      <c r="L9" s="22"/>
      <c r="M9" s="22"/>
      <c r="N9" s="22"/>
      <c r="O9" s="22"/>
      <c r="P9" s="22"/>
      <c r="Q9" s="23"/>
      <c r="R9" s="10" t="s">
        <v>50</v>
      </c>
      <c r="S9" s="50"/>
      <c r="T9" s="21"/>
      <c r="U9" s="22"/>
      <c r="V9" s="22"/>
      <c r="W9" s="22"/>
      <c r="X9" s="22"/>
      <c r="Y9" s="22"/>
      <c r="Z9" s="23"/>
      <c r="AA9" s="10" t="s">
        <v>47</v>
      </c>
      <c r="AB9" s="21"/>
      <c r="AC9" s="22"/>
      <c r="AD9" s="22"/>
      <c r="AE9" s="22"/>
      <c r="AF9" s="22"/>
      <c r="AG9" s="22"/>
      <c r="AH9" s="22"/>
      <c r="AI9" s="23"/>
      <c r="AJ9" s="10" t="s">
        <v>50</v>
      </c>
      <c r="AK9" s="52"/>
      <c r="AL9" s="21"/>
      <c r="AM9" s="22"/>
      <c r="AN9" s="22"/>
      <c r="AO9" s="22"/>
      <c r="AP9" s="22"/>
      <c r="AQ9" s="22"/>
      <c r="AR9" s="23"/>
      <c r="AS9" s="10" t="s">
        <v>47</v>
      </c>
      <c r="AT9" s="21"/>
      <c r="AU9" s="22"/>
      <c r="AV9" s="22"/>
      <c r="AW9" s="22"/>
      <c r="AX9" s="22"/>
      <c r="AY9" s="22"/>
      <c r="AZ9" s="22"/>
      <c r="BA9" s="23"/>
      <c r="BB9" s="10" t="s">
        <v>50</v>
      </c>
    </row>
    <row r="10" spans="1:54" x14ac:dyDescent="0.25">
      <c r="A10" s="52"/>
      <c r="B10" s="21"/>
      <c r="C10" s="22"/>
      <c r="D10" s="22"/>
      <c r="E10" s="22"/>
      <c r="F10" s="22"/>
      <c r="G10" s="22"/>
      <c r="H10" s="23"/>
      <c r="I10" s="27">
        <f>GETPIVOTDATA("Contagem de Destino",'Tabelas Dinamicas'!$D$10)</f>
        <v>30</v>
      </c>
      <c r="J10" s="21"/>
      <c r="K10" s="22"/>
      <c r="L10" s="22"/>
      <c r="M10" s="22"/>
      <c r="N10" s="22"/>
      <c r="O10" s="22"/>
      <c r="P10" s="22"/>
      <c r="Q10" s="23"/>
      <c r="R10" s="27">
        <f>COUNTIF(SituacaoPartidas, "Em Aberto - Atrasada")</f>
        <v>10</v>
      </c>
      <c r="S10" s="50"/>
      <c r="T10" s="21"/>
      <c r="U10" s="22"/>
      <c r="V10" s="22"/>
      <c r="W10" s="22"/>
      <c r="X10" s="22"/>
      <c r="Y10" s="22"/>
      <c r="Z10" s="23"/>
      <c r="AA10" s="27">
        <f>GETPIVOTDATA("Contagem de Destino",'Tabelas Dinamicas'!$D$10)</f>
        <v>30</v>
      </c>
      <c r="AB10" s="21"/>
      <c r="AC10" s="22"/>
      <c r="AD10" s="22"/>
      <c r="AE10" s="22"/>
      <c r="AF10" s="22"/>
      <c r="AG10" s="22"/>
      <c r="AH10" s="22"/>
      <c r="AI10" s="23"/>
      <c r="AJ10" s="27">
        <f>COUNTIF(SituacaoPartidas, "Em Aberto - Atrasada")</f>
        <v>10</v>
      </c>
      <c r="AK10" s="52"/>
      <c r="AL10" s="21"/>
      <c r="AM10" s="22"/>
      <c r="AN10" s="22"/>
      <c r="AO10" s="22"/>
      <c r="AP10" s="22"/>
      <c r="AQ10" s="22"/>
      <c r="AR10" s="23"/>
      <c r="AS10" s="27">
        <f>GETPIVOTDATA("Contagem de Destino",'Tabelas Dinamicas'!$D$10)</f>
        <v>30</v>
      </c>
      <c r="AT10" s="21"/>
      <c r="AU10" s="22"/>
      <c r="AV10" s="22"/>
      <c r="AW10" s="22"/>
      <c r="AX10" s="22"/>
      <c r="AY10" s="22"/>
      <c r="AZ10" s="22"/>
      <c r="BA10" s="23"/>
      <c r="BB10" s="27">
        <f>COUNTIF(SituacaoPartidas, "Em Aberto - Atrasada")</f>
        <v>10</v>
      </c>
    </row>
    <row r="11" spans="1:54" x14ac:dyDescent="0.25">
      <c r="A11" s="52"/>
      <c r="B11" s="21"/>
      <c r="C11" s="22"/>
      <c r="D11" s="22"/>
      <c r="E11" s="22"/>
      <c r="F11" s="22"/>
      <c r="G11" s="22"/>
      <c r="H11" s="23"/>
      <c r="I11" s="27"/>
      <c r="J11" s="21"/>
      <c r="K11" s="22"/>
      <c r="L11" s="22"/>
      <c r="M11" s="22"/>
      <c r="N11" s="22"/>
      <c r="O11" s="22"/>
      <c r="P11" s="22"/>
      <c r="Q11" s="23"/>
      <c r="R11" s="27"/>
      <c r="S11" s="50"/>
      <c r="T11" s="21"/>
      <c r="U11" s="22"/>
      <c r="V11" s="22"/>
      <c r="W11" s="22"/>
      <c r="X11" s="22"/>
      <c r="Y11" s="22"/>
      <c r="Z11" s="23"/>
      <c r="AA11" s="27"/>
      <c r="AB11" s="21"/>
      <c r="AC11" s="22"/>
      <c r="AD11" s="22"/>
      <c r="AE11" s="22"/>
      <c r="AF11" s="22"/>
      <c r="AG11" s="22"/>
      <c r="AH11" s="22"/>
      <c r="AI11" s="23"/>
      <c r="AJ11" s="27"/>
      <c r="AK11" s="52"/>
      <c r="AL11" s="21"/>
      <c r="AM11" s="22"/>
      <c r="AN11" s="22"/>
      <c r="AO11" s="22"/>
      <c r="AP11" s="22"/>
      <c r="AQ11" s="22"/>
      <c r="AR11" s="23"/>
      <c r="AS11" s="27"/>
      <c r="AT11" s="21"/>
      <c r="AU11" s="22"/>
      <c r="AV11" s="22"/>
      <c r="AW11" s="22"/>
      <c r="AX11" s="22"/>
      <c r="AY11" s="22"/>
      <c r="AZ11" s="22"/>
      <c r="BA11" s="23"/>
      <c r="BB11" s="27"/>
    </row>
    <row r="12" spans="1:54" x14ac:dyDescent="0.25">
      <c r="A12" s="52"/>
      <c r="B12" s="21"/>
      <c r="C12" s="22"/>
      <c r="D12" s="22"/>
      <c r="E12" s="22"/>
      <c r="F12" s="22"/>
      <c r="G12" s="22"/>
      <c r="H12" s="23"/>
      <c r="I12" s="27"/>
      <c r="J12" s="21"/>
      <c r="K12" s="22"/>
      <c r="L12" s="22"/>
      <c r="M12" s="22"/>
      <c r="N12" s="22"/>
      <c r="O12" s="22"/>
      <c r="P12" s="22"/>
      <c r="Q12" s="23"/>
      <c r="R12" s="27"/>
      <c r="S12" s="50"/>
      <c r="T12" s="21"/>
      <c r="U12" s="22"/>
      <c r="V12" s="22"/>
      <c r="W12" s="22"/>
      <c r="X12" s="22"/>
      <c r="Y12" s="22"/>
      <c r="Z12" s="23"/>
      <c r="AA12" s="27"/>
      <c r="AB12" s="21"/>
      <c r="AC12" s="22"/>
      <c r="AD12" s="22"/>
      <c r="AE12" s="22"/>
      <c r="AF12" s="22"/>
      <c r="AG12" s="22"/>
      <c r="AH12" s="22"/>
      <c r="AI12" s="23"/>
      <c r="AJ12" s="27"/>
      <c r="AK12" s="52"/>
      <c r="AL12" s="21"/>
      <c r="AM12" s="22"/>
      <c r="AN12" s="22"/>
      <c r="AO12" s="22"/>
      <c r="AP12" s="22"/>
      <c r="AQ12" s="22"/>
      <c r="AR12" s="23"/>
      <c r="AS12" s="27"/>
      <c r="AT12" s="21"/>
      <c r="AU12" s="22"/>
      <c r="AV12" s="22"/>
      <c r="AW12" s="22"/>
      <c r="AX12" s="22"/>
      <c r="AY12" s="22"/>
      <c r="AZ12" s="22"/>
      <c r="BA12" s="23"/>
      <c r="BB12" s="27"/>
    </row>
    <row r="13" spans="1:54" x14ac:dyDescent="0.25">
      <c r="A13" s="52"/>
      <c r="B13" s="21"/>
      <c r="C13" s="22"/>
      <c r="D13" s="22"/>
      <c r="E13" s="22"/>
      <c r="F13" s="22"/>
      <c r="G13" s="22"/>
      <c r="H13" s="23"/>
      <c r="I13" s="27"/>
      <c r="J13" s="21"/>
      <c r="K13" s="22"/>
      <c r="L13" s="22"/>
      <c r="M13" s="22"/>
      <c r="N13" s="22"/>
      <c r="O13" s="22"/>
      <c r="P13" s="22"/>
      <c r="Q13" s="23"/>
      <c r="R13" s="27"/>
      <c r="S13" s="50"/>
      <c r="T13" s="21"/>
      <c r="U13" s="22"/>
      <c r="V13" s="22"/>
      <c r="W13" s="22"/>
      <c r="X13" s="22"/>
      <c r="Y13" s="22"/>
      <c r="Z13" s="23"/>
      <c r="AA13" s="27"/>
      <c r="AB13" s="21"/>
      <c r="AC13" s="22"/>
      <c r="AD13" s="22"/>
      <c r="AE13" s="22"/>
      <c r="AF13" s="22"/>
      <c r="AG13" s="22"/>
      <c r="AH13" s="22"/>
      <c r="AI13" s="23"/>
      <c r="AJ13" s="27"/>
      <c r="AK13" s="52"/>
      <c r="AL13" s="21"/>
      <c r="AM13" s="22"/>
      <c r="AN13" s="22"/>
      <c r="AO13" s="22"/>
      <c r="AP13" s="22"/>
      <c r="AQ13" s="22"/>
      <c r="AR13" s="23"/>
      <c r="AS13" s="27"/>
      <c r="AT13" s="21"/>
      <c r="AU13" s="22"/>
      <c r="AV13" s="22"/>
      <c r="AW13" s="22"/>
      <c r="AX13" s="22"/>
      <c r="AY13" s="22"/>
      <c r="AZ13" s="22"/>
      <c r="BA13" s="23"/>
      <c r="BB13" s="27"/>
    </row>
    <row r="14" spans="1:54" ht="15.75" thickBot="1" x14ac:dyDescent="0.3">
      <c r="A14" s="52"/>
      <c r="B14" s="21"/>
      <c r="C14" s="22"/>
      <c r="D14" s="22"/>
      <c r="E14" s="22"/>
      <c r="F14" s="22"/>
      <c r="G14" s="22"/>
      <c r="H14" s="23"/>
      <c r="I14" s="28"/>
      <c r="J14" s="21"/>
      <c r="K14" s="22"/>
      <c r="L14" s="22"/>
      <c r="M14" s="22"/>
      <c r="N14" s="22"/>
      <c r="O14" s="22"/>
      <c r="P14" s="22"/>
      <c r="Q14" s="23"/>
      <c r="R14" s="28"/>
      <c r="S14" s="50"/>
      <c r="T14" s="21"/>
      <c r="U14" s="22"/>
      <c r="V14" s="22"/>
      <c r="W14" s="22"/>
      <c r="X14" s="22"/>
      <c r="Y14" s="22"/>
      <c r="Z14" s="23"/>
      <c r="AA14" s="28"/>
      <c r="AB14" s="21"/>
      <c r="AC14" s="22"/>
      <c r="AD14" s="22"/>
      <c r="AE14" s="22"/>
      <c r="AF14" s="22"/>
      <c r="AG14" s="22"/>
      <c r="AH14" s="22"/>
      <c r="AI14" s="23"/>
      <c r="AJ14" s="28"/>
      <c r="AK14" s="52"/>
      <c r="AL14" s="21"/>
      <c r="AM14" s="22"/>
      <c r="AN14" s="22"/>
      <c r="AO14" s="22"/>
      <c r="AP14" s="22"/>
      <c r="AQ14" s="22"/>
      <c r="AR14" s="23"/>
      <c r="AS14" s="28"/>
      <c r="AT14" s="21"/>
      <c r="AU14" s="22"/>
      <c r="AV14" s="22"/>
      <c r="AW14" s="22"/>
      <c r="AX14" s="22"/>
      <c r="AY14" s="22"/>
      <c r="AZ14" s="22"/>
      <c r="BA14" s="23"/>
      <c r="BB14" s="28"/>
    </row>
    <row r="15" spans="1:54" x14ac:dyDescent="0.25">
      <c r="A15" s="52"/>
      <c r="B15" s="21"/>
      <c r="C15" s="22"/>
      <c r="D15" s="22"/>
      <c r="E15" s="22"/>
      <c r="F15" s="22"/>
      <c r="G15" s="22"/>
      <c r="H15" s="23"/>
      <c r="I15" s="10" t="s">
        <v>48</v>
      </c>
      <c r="J15" s="21"/>
      <c r="K15" s="22"/>
      <c r="L15" s="22"/>
      <c r="M15" s="22"/>
      <c r="N15" s="22"/>
      <c r="O15" s="22"/>
      <c r="P15" s="22"/>
      <c r="Q15" s="23"/>
      <c r="R15" s="10" t="s">
        <v>51</v>
      </c>
      <c r="S15" s="50"/>
      <c r="T15" s="21"/>
      <c r="U15" s="22"/>
      <c r="V15" s="22"/>
      <c r="W15" s="22"/>
      <c r="X15" s="22"/>
      <c r="Y15" s="22"/>
      <c r="Z15" s="23"/>
      <c r="AA15" s="10" t="s">
        <v>48</v>
      </c>
      <c r="AB15" s="21"/>
      <c r="AC15" s="22"/>
      <c r="AD15" s="22"/>
      <c r="AE15" s="22"/>
      <c r="AF15" s="22"/>
      <c r="AG15" s="22"/>
      <c r="AH15" s="22"/>
      <c r="AI15" s="23"/>
      <c r="AJ15" s="10" t="s">
        <v>51</v>
      </c>
      <c r="AK15" s="52"/>
      <c r="AL15" s="21"/>
      <c r="AM15" s="22"/>
      <c r="AN15" s="22"/>
      <c r="AO15" s="22"/>
      <c r="AP15" s="22"/>
      <c r="AQ15" s="22"/>
      <c r="AR15" s="23"/>
      <c r="AS15" s="10" t="s">
        <v>48</v>
      </c>
      <c r="AT15" s="21"/>
      <c r="AU15" s="22"/>
      <c r="AV15" s="22"/>
      <c r="AW15" s="22"/>
      <c r="AX15" s="22"/>
      <c r="AY15" s="22"/>
      <c r="AZ15" s="22"/>
      <c r="BA15" s="23"/>
      <c r="BB15" s="10" t="s">
        <v>51</v>
      </c>
    </row>
    <row r="16" spans="1:54" ht="15" customHeight="1" x14ac:dyDescent="0.25">
      <c r="A16" s="52"/>
      <c r="B16" s="21"/>
      <c r="C16" s="22"/>
      <c r="D16" s="22"/>
      <c r="E16" s="22"/>
      <c r="F16" s="22"/>
      <c r="G16" s="22"/>
      <c r="H16" s="23"/>
      <c r="I16" s="27">
        <f>I4/I10</f>
        <v>101.43333333333334</v>
      </c>
      <c r="J16" s="21"/>
      <c r="K16" s="22"/>
      <c r="L16" s="22"/>
      <c r="M16" s="22"/>
      <c r="N16" s="22"/>
      <c r="O16" s="22"/>
      <c r="P16" s="22"/>
      <c r="Q16" s="23"/>
      <c r="R16" s="27">
        <f>COUNTIF(SituacaoChegadas, "Em aberto*")</f>
        <v>11</v>
      </c>
      <c r="S16" s="50"/>
      <c r="T16" s="21"/>
      <c r="U16" s="22"/>
      <c r="V16" s="22"/>
      <c r="W16" s="22"/>
      <c r="X16" s="22"/>
      <c r="Y16" s="22"/>
      <c r="Z16" s="23"/>
      <c r="AA16" s="27">
        <f>AA4/AA10</f>
        <v>101.43333333333334</v>
      </c>
      <c r="AB16" s="21"/>
      <c r="AC16" s="22"/>
      <c r="AD16" s="22"/>
      <c r="AE16" s="22"/>
      <c r="AF16" s="22"/>
      <c r="AG16" s="22"/>
      <c r="AH16" s="22"/>
      <c r="AI16" s="23"/>
      <c r="AJ16" s="27">
        <f>COUNTIF(SituacaoChegadas, "Em aberto*")</f>
        <v>11</v>
      </c>
      <c r="AK16" s="52"/>
      <c r="AL16" s="21"/>
      <c r="AM16" s="22"/>
      <c r="AN16" s="22"/>
      <c r="AO16" s="22"/>
      <c r="AP16" s="22"/>
      <c r="AQ16" s="22"/>
      <c r="AR16" s="23"/>
      <c r="AS16" s="27">
        <f>AS4/AS10</f>
        <v>101.43333333333334</v>
      </c>
      <c r="AT16" s="21"/>
      <c r="AU16" s="22"/>
      <c r="AV16" s="22"/>
      <c r="AW16" s="22"/>
      <c r="AX16" s="22"/>
      <c r="AY16" s="22"/>
      <c r="AZ16" s="22"/>
      <c r="BA16" s="23"/>
      <c r="BB16" s="27">
        <f>COUNTIF(SituacaoChegadas, "Em aberto*")</f>
        <v>11</v>
      </c>
    </row>
    <row r="17" spans="1:54" x14ac:dyDescent="0.25">
      <c r="A17" s="52"/>
      <c r="B17" s="21"/>
      <c r="C17" s="22"/>
      <c r="D17" s="22"/>
      <c r="E17" s="22"/>
      <c r="F17" s="22"/>
      <c r="G17" s="22"/>
      <c r="H17" s="23"/>
      <c r="I17" s="27"/>
      <c r="J17" s="21"/>
      <c r="K17" s="22"/>
      <c r="L17" s="22"/>
      <c r="M17" s="22"/>
      <c r="N17" s="22"/>
      <c r="O17" s="22"/>
      <c r="P17" s="22"/>
      <c r="Q17" s="23"/>
      <c r="R17" s="27"/>
      <c r="S17" s="50"/>
      <c r="T17" s="21"/>
      <c r="U17" s="22"/>
      <c r="V17" s="22"/>
      <c r="W17" s="22"/>
      <c r="X17" s="22"/>
      <c r="Y17" s="22"/>
      <c r="Z17" s="23"/>
      <c r="AA17" s="27"/>
      <c r="AB17" s="21"/>
      <c r="AC17" s="22"/>
      <c r="AD17" s="22"/>
      <c r="AE17" s="22"/>
      <c r="AF17" s="22"/>
      <c r="AG17" s="22"/>
      <c r="AH17" s="22"/>
      <c r="AI17" s="23"/>
      <c r="AJ17" s="27"/>
      <c r="AK17" s="52"/>
      <c r="AL17" s="21"/>
      <c r="AM17" s="22"/>
      <c r="AN17" s="22"/>
      <c r="AO17" s="22"/>
      <c r="AP17" s="22"/>
      <c r="AQ17" s="22"/>
      <c r="AR17" s="23"/>
      <c r="AS17" s="27"/>
      <c r="AT17" s="21"/>
      <c r="AU17" s="22"/>
      <c r="AV17" s="22"/>
      <c r="AW17" s="22"/>
      <c r="AX17" s="22"/>
      <c r="AY17" s="22"/>
      <c r="AZ17" s="22"/>
      <c r="BA17" s="23"/>
      <c r="BB17" s="27"/>
    </row>
    <row r="18" spans="1:54" x14ac:dyDescent="0.25">
      <c r="A18" s="52"/>
      <c r="B18" s="21"/>
      <c r="C18" s="22"/>
      <c r="D18" s="22"/>
      <c r="E18" s="22"/>
      <c r="F18" s="22"/>
      <c r="G18" s="22"/>
      <c r="H18" s="23"/>
      <c r="I18" s="27"/>
      <c r="J18" s="21"/>
      <c r="K18" s="22"/>
      <c r="L18" s="22"/>
      <c r="M18" s="22"/>
      <c r="N18" s="22"/>
      <c r="O18" s="22"/>
      <c r="P18" s="22"/>
      <c r="Q18" s="23"/>
      <c r="R18" s="27"/>
      <c r="S18" s="50"/>
      <c r="T18" s="21"/>
      <c r="U18" s="22"/>
      <c r="V18" s="22"/>
      <c r="W18" s="22"/>
      <c r="X18" s="22"/>
      <c r="Y18" s="22"/>
      <c r="Z18" s="23"/>
      <c r="AA18" s="27"/>
      <c r="AB18" s="21"/>
      <c r="AC18" s="22"/>
      <c r="AD18" s="22"/>
      <c r="AE18" s="22"/>
      <c r="AF18" s="22"/>
      <c r="AG18" s="22"/>
      <c r="AH18" s="22"/>
      <c r="AI18" s="23"/>
      <c r="AJ18" s="27"/>
      <c r="AK18" s="52"/>
      <c r="AL18" s="21"/>
      <c r="AM18" s="22"/>
      <c r="AN18" s="22"/>
      <c r="AO18" s="22"/>
      <c r="AP18" s="22"/>
      <c r="AQ18" s="22"/>
      <c r="AR18" s="23"/>
      <c r="AS18" s="27"/>
      <c r="AT18" s="21"/>
      <c r="AU18" s="22"/>
      <c r="AV18" s="22"/>
      <c r="AW18" s="22"/>
      <c r="AX18" s="22"/>
      <c r="AY18" s="22"/>
      <c r="AZ18" s="22"/>
      <c r="BA18" s="23"/>
      <c r="BB18" s="27"/>
    </row>
    <row r="19" spans="1:54" x14ac:dyDescent="0.25">
      <c r="A19" s="52"/>
      <c r="B19" s="21"/>
      <c r="C19" s="22"/>
      <c r="D19" s="22"/>
      <c r="E19" s="22"/>
      <c r="F19" s="22"/>
      <c r="G19" s="22"/>
      <c r="H19" s="23"/>
      <c r="I19" s="27"/>
      <c r="J19" s="21"/>
      <c r="K19" s="22"/>
      <c r="L19" s="22"/>
      <c r="M19" s="22"/>
      <c r="N19" s="22"/>
      <c r="O19" s="22"/>
      <c r="P19" s="22"/>
      <c r="Q19" s="23"/>
      <c r="R19" s="27"/>
      <c r="S19" s="50"/>
      <c r="T19" s="21"/>
      <c r="U19" s="22"/>
      <c r="V19" s="22"/>
      <c r="W19" s="22"/>
      <c r="X19" s="22"/>
      <c r="Y19" s="22"/>
      <c r="Z19" s="23"/>
      <c r="AA19" s="27"/>
      <c r="AB19" s="21"/>
      <c r="AC19" s="22"/>
      <c r="AD19" s="22"/>
      <c r="AE19" s="22"/>
      <c r="AF19" s="22"/>
      <c r="AG19" s="22"/>
      <c r="AH19" s="22"/>
      <c r="AI19" s="23"/>
      <c r="AJ19" s="27"/>
      <c r="AK19" s="52"/>
      <c r="AL19" s="21"/>
      <c r="AM19" s="22"/>
      <c r="AN19" s="22"/>
      <c r="AO19" s="22"/>
      <c r="AP19" s="22"/>
      <c r="AQ19" s="22"/>
      <c r="AR19" s="23"/>
      <c r="AS19" s="27"/>
      <c r="AT19" s="21"/>
      <c r="AU19" s="22"/>
      <c r="AV19" s="22"/>
      <c r="AW19" s="22"/>
      <c r="AX19" s="22"/>
      <c r="AY19" s="22"/>
      <c r="AZ19" s="22"/>
      <c r="BA19" s="23"/>
      <c r="BB19" s="27"/>
    </row>
    <row r="20" spans="1:54" ht="15.75" thickBot="1" x14ac:dyDescent="0.3">
      <c r="A20" s="52"/>
      <c r="B20" s="24"/>
      <c r="C20" s="25"/>
      <c r="D20" s="25"/>
      <c r="E20" s="25"/>
      <c r="F20" s="25"/>
      <c r="G20" s="25"/>
      <c r="H20" s="26"/>
      <c r="I20" s="28"/>
      <c r="J20" s="24"/>
      <c r="K20" s="25"/>
      <c r="L20" s="25"/>
      <c r="M20" s="25"/>
      <c r="N20" s="25"/>
      <c r="O20" s="25"/>
      <c r="P20" s="25"/>
      <c r="Q20" s="26"/>
      <c r="R20" s="28"/>
      <c r="S20" s="50"/>
      <c r="T20" s="24"/>
      <c r="U20" s="25"/>
      <c r="V20" s="25"/>
      <c r="W20" s="25"/>
      <c r="X20" s="25"/>
      <c r="Y20" s="25"/>
      <c r="Z20" s="26"/>
      <c r="AA20" s="28"/>
      <c r="AB20" s="24"/>
      <c r="AC20" s="25"/>
      <c r="AD20" s="25"/>
      <c r="AE20" s="25"/>
      <c r="AF20" s="25"/>
      <c r="AG20" s="25"/>
      <c r="AH20" s="25"/>
      <c r="AI20" s="26"/>
      <c r="AJ20" s="28"/>
      <c r="AK20" s="52"/>
      <c r="AL20" s="24"/>
      <c r="AM20" s="25"/>
      <c r="AN20" s="25"/>
      <c r="AO20" s="25"/>
      <c r="AP20" s="25"/>
      <c r="AQ20" s="25"/>
      <c r="AR20" s="26"/>
      <c r="AS20" s="28"/>
      <c r="AT20" s="24"/>
      <c r="AU20" s="25"/>
      <c r="AV20" s="25"/>
      <c r="AW20" s="25"/>
      <c r="AX20" s="25"/>
      <c r="AY20" s="25"/>
      <c r="AZ20" s="25"/>
      <c r="BA20" s="26"/>
      <c r="BB20" s="28"/>
    </row>
    <row r="29" spans="1:54" x14ac:dyDescent="0.25">
      <c r="Z29" s="49"/>
    </row>
  </sheetData>
  <sheetProtection sheet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141" priority="14">
      <formula>$R$10=$R$16</formula>
    </cfRule>
    <cfRule type="expression" dxfId="140" priority="15">
      <formula>$R$10&gt;=($R$16/2)</formula>
    </cfRule>
  </conditionalFormatting>
  <conditionalFormatting sqref="AJ10:AJ14">
    <cfRule type="expression" dxfId="139" priority="4">
      <formula>$R$10=$R$16</formula>
    </cfRule>
    <cfRule type="expression" dxfId="138" priority="5">
      <formula>$R$10&gt;=($R$16/2)</formula>
    </cfRule>
  </conditionalFormatting>
  <conditionalFormatting sqref="BB10:BB14">
    <cfRule type="expression" dxfId="137" priority="2">
      <formula>$R$10=$R$16</formula>
    </cfRule>
    <cfRule type="expression" dxfId="136" priority="3">
      <formula>$R$10&gt;=($R$16/2)</formula>
    </cfRule>
  </conditionalFormatting>
  <conditionalFormatting sqref="B2:R2">
    <cfRule type="containsText" dxfId="135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114300</xdr:colOff>
                    <xdr:row>0</xdr:row>
                    <xdr:rowOff>142875</xdr:rowOff>
                  </from>
                  <to>
                    <xdr:col>0</xdr:col>
                    <xdr:colOff>447675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123825</xdr:colOff>
                    <xdr:row>0</xdr:row>
                    <xdr:rowOff>152400</xdr:rowOff>
                  </from>
                  <to>
                    <xdr:col>18</xdr:col>
                    <xdr:colOff>457200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133350</xdr:colOff>
                    <xdr:row>0</xdr:row>
                    <xdr:rowOff>161925</xdr:rowOff>
                  </from>
                  <to>
                    <xdr:col>36</xdr:col>
                    <xdr:colOff>466725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2C954-C78E-4578-9E44-1165564446C7}">
  <sheetPr codeName="Planilha6"/>
  <dimension ref="A3:B8"/>
  <sheetViews>
    <sheetView workbookViewId="0">
      <selection activeCell="A5" sqref="A5"/>
    </sheetView>
  </sheetViews>
  <sheetFormatPr defaultRowHeight="15" x14ac:dyDescent="0.25"/>
  <cols>
    <col min="1" max="1" width="19.42578125" bestFit="1" customWidth="1"/>
    <col min="2" max="2" width="25" style="3" bestFit="1" customWidth="1"/>
  </cols>
  <sheetData>
    <row r="3" spans="1:2" x14ac:dyDescent="0.25">
      <c r="A3" s="46" t="s">
        <v>40</v>
      </c>
      <c r="B3" t="s">
        <v>41</v>
      </c>
    </row>
    <row r="4" spans="1:2" x14ac:dyDescent="0.25">
      <c r="A4" s="47" t="s">
        <v>36</v>
      </c>
      <c r="B4" s="48">
        <v>5316.2790697674418</v>
      </c>
    </row>
    <row r="5" spans="1:2" x14ac:dyDescent="0.25">
      <c r="A5" s="47" t="s">
        <v>31</v>
      </c>
      <c r="B5" s="48">
        <v>8330.1311953352779</v>
      </c>
    </row>
    <row r="6" spans="1:2" x14ac:dyDescent="0.25">
      <c r="A6" s="47" t="s">
        <v>22</v>
      </c>
      <c r="B6" s="48">
        <v>12010.796978704524</v>
      </c>
    </row>
    <row r="7" spans="1:2" x14ac:dyDescent="0.25">
      <c r="A7" s="47" t="s">
        <v>57</v>
      </c>
      <c r="B7" s="48"/>
    </row>
    <row r="8" spans="1:2" x14ac:dyDescent="0.25">
      <c r="A8" s="47" t="s">
        <v>42</v>
      </c>
      <c r="B8" s="48">
        <v>25657.207243807243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Indicadores Base</vt:lpstr>
      <vt:lpstr>Tabelas Dinamicas</vt:lpstr>
      <vt:lpstr>Controle de Entregas</vt:lpstr>
      <vt:lpstr>Base Filtrada</vt:lpstr>
      <vt:lpstr>Dashboard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Nayury Dark</cp:lastModifiedBy>
  <dcterms:created xsi:type="dcterms:W3CDTF">2020-01-28T18:38:11Z</dcterms:created>
  <dcterms:modified xsi:type="dcterms:W3CDTF">2022-01-02T21:06:44Z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